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uis\Qsync\Documents\Travail\02-Portfolio\portfolio-data-sport\projects\calculateur_temps_course\"/>
    </mc:Choice>
  </mc:AlternateContent>
  <xr:revisionPtr revIDLastSave="0" documentId="13_ncr:1_{B1CF551D-6D94-48F3-8904-1205A8764C1A}" xr6:coauthVersionLast="47" xr6:coauthVersionMax="47" xr10:uidLastSave="{00000000-0000-0000-0000-000000000000}"/>
  <bookViews>
    <workbookView xWindow="-110" yWindow="-110" windowWidth="19420" windowHeight="10300" xr2:uid="{786E8230-4FEE-4348-9F1F-E98B48726767}"/>
  </bookViews>
  <sheets>
    <sheet name="Entrées utilisateur" sheetId="2" r:id="rId1"/>
    <sheet name="Estimation des temps" sheetId="1" r:id="rId2"/>
    <sheet name="Paramètres" sheetId="3" r:id="rId3"/>
  </sheets>
  <externalReferences>
    <externalReference r:id="rId4"/>
  </externalReferences>
  <definedNames>
    <definedName name="poids_athlete">[1]Identité!$D$3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  <c r="B20" i="1"/>
  <c r="B21" i="1"/>
  <c r="B22" i="1"/>
  <c r="B23" i="1"/>
  <c r="B18" i="1"/>
  <c r="B8" i="1"/>
  <c r="G5" i="2"/>
  <c r="G4" i="2"/>
  <c r="C14" i="2"/>
  <c r="D14" i="2" s="1"/>
  <c r="C15" i="2"/>
  <c r="D15" i="2" s="1"/>
  <c r="C16" i="2"/>
  <c r="D16" i="2" s="1"/>
  <c r="C17" i="2"/>
  <c r="D17" i="2" s="1"/>
  <c r="C13" i="2"/>
  <c r="D13" i="2" s="1"/>
  <c r="C10" i="2"/>
  <c r="G18" i="2"/>
  <c r="G19" i="2" s="1"/>
  <c r="A18" i="1"/>
  <c r="B4" i="1"/>
  <c r="B5" i="1" s="1"/>
  <c r="H8" i="1"/>
  <c r="B3" i="1" l="1"/>
  <c r="B7" i="1" s="1"/>
  <c r="B9" i="1"/>
  <c r="B13" i="1"/>
  <c r="B14" i="1" s="1"/>
  <c r="B12" i="1"/>
  <c r="C19" i="1" l="1"/>
  <c r="F7" i="1" s="1"/>
  <c r="G7" i="1" s="1"/>
  <c r="C20" i="1"/>
  <c r="F8" i="1" s="1"/>
  <c r="G8" i="1" s="1"/>
  <c r="C18" i="1"/>
  <c r="F3" i="1" s="1"/>
  <c r="F4" i="1" s="1"/>
  <c r="C21" i="1"/>
  <c r="F9" i="1" s="1"/>
  <c r="G9" i="1" s="1"/>
  <c r="C23" i="1"/>
  <c r="F11" i="1" s="1"/>
  <c r="G11" i="1" s="1"/>
  <c r="C22" i="1"/>
  <c r="F10" i="1" s="1"/>
  <c r="G10" i="1" s="1"/>
  <c r="B10" i="1"/>
</calcChain>
</file>

<file path=xl/sharedStrings.xml><?xml version="1.0" encoding="utf-8"?>
<sst xmlns="http://schemas.openxmlformats.org/spreadsheetml/2006/main" count="73" uniqueCount="64">
  <si>
    <t>Niveau actuel</t>
  </si>
  <si>
    <t>Objectif</t>
  </si>
  <si>
    <t>Paramètres du modèle</t>
  </si>
  <si>
    <t>Distance</t>
  </si>
  <si>
    <t>Poids des séances</t>
  </si>
  <si>
    <t>Temps estimé actuel</t>
  </si>
  <si>
    <t>Type</t>
  </si>
  <si>
    <t>Poids</t>
  </si>
  <si>
    <t>Allure de référence</t>
  </si>
  <si>
    <t>Allure estimée actuelle</t>
  </si>
  <si>
    <t>Footing</t>
  </si>
  <si>
    <t>Fractionné</t>
  </si>
  <si>
    <t>Allure</t>
  </si>
  <si>
    <t>Préparation prévue</t>
  </si>
  <si>
    <t>Sortie longue</t>
  </si>
  <si>
    <t>Prépa spécifique ?</t>
  </si>
  <si>
    <t>Facteurs de gain</t>
  </si>
  <si>
    <t>Nombre de semaines</t>
  </si>
  <si>
    <t>Paramètre</t>
  </si>
  <si>
    <t>Valeur</t>
  </si>
  <si>
    <t>k general</t>
  </si>
  <si>
    <t>Nombre de cycles</t>
  </si>
  <si>
    <t>k specifique</t>
  </si>
  <si>
    <t>Equivalent semaines prépa</t>
  </si>
  <si>
    <t>k qualité</t>
  </si>
  <si>
    <t>Evolution du niveau</t>
  </si>
  <si>
    <t>bonus spécifique</t>
  </si>
  <si>
    <t>Entraînement hebdomadaire</t>
  </si>
  <si>
    <t>k fatigue</t>
  </si>
  <si>
    <t>Charge de l'entraînement</t>
  </si>
  <si>
    <t>Footings / sem.</t>
  </si>
  <si>
    <t>effet affûtage</t>
  </si>
  <si>
    <t>Score séances hebdos</t>
  </si>
  <si>
    <t>Fractionnés / sem.</t>
  </si>
  <si>
    <t>k distance</t>
  </si>
  <si>
    <t>Qualité normalisée</t>
  </si>
  <si>
    <t>Sorties longues / sem.</t>
  </si>
  <si>
    <t>Total / sem.</t>
  </si>
  <si>
    <t>Gain général</t>
  </si>
  <si>
    <t>Facteur évolution générale</t>
  </si>
  <si>
    <t>Gain distance</t>
  </si>
  <si>
    <t>Facteur niveau</t>
  </si>
  <si>
    <t>Facteur fatigue</t>
  </si>
  <si>
    <t>Facteur général</t>
  </si>
  <si>
    <t>Facteur spécifique</t>
  </si>
  <si>
    <t>Facteur lié à la qualité</t>
  </si>
  <si>
    <t>Gain spécifique</t>
  </si>
  <si>
    <t>Gain final par distance</t>
  </si>
  <si>
    <t>Facteur</t>
  </si>
  <si>
    <t>Gain</t>
  </si>
  <si>
    <t>Bornes</t>
  </si>
  <si>
    <t>Min facteur qualité</t>
  </si>
  <si>
    <t>Max facteur qualité</t>
  </si>
  <si>
    <t>Seuil charge hebdo</t>
  </si>
  <si>
    <t>Min effet fatigue</t>
  </si>
  <si>
    <t>Temps espéré</t>
  </si>
  <si>
    <t>Gain max sur 10 sem.</t>
  </si>
  <si>
    <t>Allure objectif</t>
  </si>
  <si>
    <t>Référence niveau</t>
  </si>
  <si>
    <t>Niveau espéré au moment de l'objectif</t>
  </si>
  <si>
    <t>Temps de référence (hh:mm:ss)</t>
  </si>
  <si>
    <t>Distance de référence (en km)</t>
  </si>
  <si>
    <t>Distance objectif (en km)</t>
  </si>
  <si>
    <t>Pour visualiser tes prédictions, entre d'abord tes données dans les cases jaunes. Une fois cela accompli, tu pourras voir tes prédictions dans la feuille "Estimation des temps".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</si>
</sst>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&quot; km&quot;"/>
    <numFmt numFmtId="165" formatCode="#.0&quot; km&quot;"/>
    <numFmt numFmtId="166" formatCode="[mm]\'ss&quot; /km&quot;"/>
    <numFmt numFmtId="167" formatCode="#&quot; km&quot;"/>
    <numFmt numFmtId="168" formatCode="0.0%"/>
    <numFmt numFmtId="169" formatCode="0&quot; séances&quot;"/>
  </numFmts>
  <fonts count="9" x14ac:knownFonts="1"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7636F"/>
        <bgColor indexed="64"/>
      </patternFill>
    </fill>
    <fill>
      <patternFill patternType="solid">
        <fgColor rgb="FFD2E2E3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2" fillId="2" borderId="1" xfId="0" applyFont="1" applyFill="1" applyBorder="1" applyAlignment="1">
      <alignment horizontal="centerContinuous" vertical="center"/>
    </xf>
    <xf numFmtId="0" fontId="2" fillId="2" borderId="0" xfId="0" applyFont="1" applyFill="1" applyAlignment="1">
      <alignment horizontal="centerContinuous" vertical="center"/>
    </xf>
    <xf numFmtId="0" fontId="3" fillId="0" borderId="0" xfId="0" applyFont="1" applyAlignment="1">
      <alignment horizontal="left" vertical="top"/>
    </xf>
    <xf numFmtId="0" fontId="4" fillId="3" borderId="2" xfId="0" applyFont="1" applyFill="1" applyBorder="1" applyAlignment="1">
      <alignment horizontal="left" vertical="center" wrapText="1"/>
    </xf>
    <xf numFmtId="165" fontId="3" fillId="0" borderId="2" xfId="0" applyNumberFormat="1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Continuous" vertical="center" wrapText="1"/>
    </xf>
    <xf numFmtId="0" fontId="4" fillId="3" borderId="4" xfId="0" applyFont="1" applyFill="1" applyBorder="1" applyAlignment="1">
      <alignment horizontal="centerContinuous" vertical="center" wrapText="1"/>
    </xf>
    <xf numFmtId="21" fontId="3" fillId="0" borderId="2" xfId="0" applyNumberFormat="1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top" wrapText="1"/>
    </xf>
    <xf numFmtId="166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7" fontId="3" fillId="0" borderId="2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 vertical="center"/>
    </xf>
    <xf numFmtId="20" fontId="3" fillId="0" borderId="0" xfId="0" applyNumberFormat="1" applyFont="1" applyAlignment="1">
      <alignment horizontal="left" vertical="top"/>
    </xf>
    <xf numFmtId="1" fontId="3" fillId="0" borderId="2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3" borderId="2" xfId="0" applyFont="1" applyFill="1" applyBorder="1" applyAlignment="1">
      <alignment horizontal="right" vertical="center" wrapText="1"/>
    </xf>
    <xf numFmtId="2" fontId="3" fillId="0" borderId="2" xfId="0" applyNumberFormat="1" applyFont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3" borderId="2" xfId="0" applyFont="1" applyFill="1" applyBorder="1" applyAlignment="1">
      <alignment horizontal="right" vertical="center" wrapText="1"/>
    </xf>
    <xf numFmtId="0" fontId="5" fillId="0" borderId="0" xfId="0" applyFont="1" applyAlignment="1">
      <alignment horizontal="left" vertical="top"/>
    </xf>
    <xf numFmtId="168" fontId="3" fillId="0" borderId="2" xfId="1" applyNumberFormat="1" applyFont="1" applyBorder="1" applyAlignment="1">
      <alignment horizontal="center" vertical="center" wrapText="1"/>
    </xf>
    <xf numFmtId="2" fontId="3" fillId="0" borderId="2" xfId="1" applyNumberFormat="1" applyFont="1" applyBorder="1" applyAlignment="1">
      <alignment horizontal="center" vertical="center"/>
    </xf>
    <xf numFmtId="10" fontId="3" fillId="0" borderId="2" xfId="1" applyNumberFormat="1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Continuous" vertical="center" wrapText="1"/>
    </xf>
    <xf numFmtId="169" fontId="3" fillId="0" borderId="2" xfId="0" applyNumberFormat="1" applyFont="1" applyBorder="1" applyAlignment="1">
      <alignment horizontal="center" vertical="center" wrapText="1"/>
    </xf>
    <xf numFmtId="10" fontId="3" fillId="0" borderId="0" xfId="1" applyNumberFormat="1" applyFont="1" applyAlignment="1">
      <alignment horizontal="left" vertical="top"/>
    </xf>
    <xf numFmtId="0" fontId="7" fillId="3" borderId="2" xfId="0" applyFont="1" applyFill="1" applyBorder="1" applyAlignment="1">
      <alignment horizontal="left" vertical="center" wrapText="1"/>
    </xf>
    <xf numFmtId="21" fontId="8" fillId="0" borderId="2" xfId="0" applyNumberFormat="1" applyFont="1" applyBorder="1" applyAlignment="1">
      <alignment horizontal="center" vertical="center"/>
    </xf>
    <xf numFmtId="166" fontId="8" fillId="0" borderId="2" xfId="0" applyNumberFormat="1" applyFont="1" applyBorder="1" applyAlignment="1">
      <alignment horizontal="center" vertical="center"/>
    </xf>
    <xf numFmtId="164" fontId="3" fillId="4" borderId="2" xfId="0" applyNumberFormat="1" applyFont="1" applyFill="1" applyBorder="1" applyAlignment="1" applyProtection="1">
      <alignment horizontal="center" vertical="center"/>
      <protection locked="0"/>
    </xf>
    <xf numFmtId="21" fontId="3" fillId="4" borderId="2" xfId="0" applyNumberFormat="1" applyFont="1" applyFill="1" applyBorder="1" applyAlignment="1" applyProtection="1">
      <alignment horizontal="center" vertical="center"/>
      <protection locked="0"/>
    </xf>
    <xf numFmtId="165" fontId="3" fillId="4" borderId="2" xfId="0" applyNumberFormat="1" applyFont="1" applyFill="1" applyBorder="1" applyAlignment="1" applyProtection="1">
      <alignment horizontal="center" vertical="center"/>
      <protection locked="0"/>
    </xf>
    <xf numFmtId="0" fontId="3" fillId="4" borderId="2" xfId="0" applyFont="1" applyFill="1" applyBorder="1" applyAlignment="1" applyProtection="1">
      <alignment horizontal="center" vertical="center"/>
      <protection locked="0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</a:t>
            </a:r>
            <a:r>
              <a:rPr lang="fr-FR" baseline="0"/>
              <a:t> de l'allure en fonction des distances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Allure actuelle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'Estimation des temps'!$E$7:$E$11</c:f>
              <c:numCache>
                <c:formatCode>#" km"</c:formatCode>
                <c:ptCount val="5"/>
                <c:pt idx="0">
                  <c:v>5</c:v>
                </c:pt>
                <c:pt idx="1">
                  <c:v>10</c:v>
                </c:pt>
                <c:pt idx="2" formatCode="#.0&quot; km&quot;">
                  <c:v>21.1</c:v>
                </c:pt>
                <c:pt idx="3" formatCode="#.0&quot; km&quot;">
                  <c:v>42.2</c:v>
                </c:pt>
                <c:pt idx="4">
                  <c:v>100</c:v>
                </c:pt>
              </c:numCache>
            </c:numRef>
          </c:cat>
          <c:val>
            <c:numRef>
              <c:f>'Entrées utilisateur'!$D$13:$D$17</c:f>
              <c:numCache>
                <c:formatCode>[mm]\'ss" /km"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24-4700-8B6F-0820F005C51B}"/>
            </c:ext>
          </c:extLst>
        </c:ser>
        <c:ser>
          <c:idx val="1"/>
          <c:order val="1"/>
          <c:tx>
            <c:v>Allure prévisionnelle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'Estimation des temps'!$E$7:$E$11</c:f>
              <c:numCache>
                <c:formatCode>#" km"</c:formatCode>
                <c:ptCount val="5"/>
                <c:pt idx="0">
                  <c:v>5</c:v>
                </c:pt>
                <c:pt idx="1">
                  <c:v>10</c:v>
                </c:pt>
                <c:pt idx="2" formatCode="#.0&quot; km&quot;">
                  <c:v>21.1</c:v>
                </c:pt>
                <c:pt idx="3" formatCode="#.0&quot; km&quot;">
                  <c:v>42.2</c:v>
                </c:pt>
                <c:pt idx="4">
                  <c:v>100</c:v>
                </c:pt>
              </c:numCache>
            </c:numRef>
          </c:cat>
          <c:val>
            <c:numRef>
              <c:f>'Estimation des temps'!$G$7:$G$11</c:f>
              <c:numCache>
                <c:formatCode>[mm]\'ss" /km"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24-4700-8B6F-0820F005C5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2395648"/>
        <c:axId val="1812396128"/>
      </c:lineChart>
      <c:catAx>
        <c:axId val="1812395648"/>
        <c:scaling>
          <c:orientation val="minMax"/>
        </c:scaling>
        <c:delete val="0"/>
        <c:axPos val="t"/>
        <c:numFmt formatCode="#&quot; km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12396128"/>
        <c:crosses val="autoZero"/>
        <c:auto val="1"/>
        <c:lblAlgn val="ctr"/>
        <c:lblOffset val="100"/>
        <c:noMultiLvlLbl val="0"/>
      </c:catAx>
      <c:valAx>
        <c:axId val="1812396128"/>
        <c:scaling>
          <c:orientation val="maxMin"/>
          <c:max val="2.9000000000000007E-3"/>
          <c:min val="2.3000000000000004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mm]\'ss&quot; /k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12395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814294</xdr:colOff>
      <xdr:row>11</xdr:row>
      <xdr:rowOff>112058</xdr:rowOff>
    </xdr:from>
    <xdr:to>
      <xdr:col>7</xdr:col>
      <xdr:colOff>29883</xdr:colOff>
      <xdr:row>25</xdr:row>
      <xdr:rowOff>97117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1922E1F-09D5-434C-AB33-A8B568217A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ouis\Qsync\Documents\Sport\Musculation\Test%20et%20screening.xlsx" TargetMode="External"/><Relationship Id="rId1" Type="http://schemas.openxmlformats.org/officeDocument/2006/relationships/externalLinkPath" Target="/Users/louis/Qsync/Documents/Sport/Musculation/Test%20et%20screen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dentité"/>
      <sheetName val="Analyse course à pied"/>
      <sheetName val="Tests 1RM"/>
      <sheetName val="Tests fonctionnels"/>
      <sheetName val="Test expert"/>
      <sheetName val="Estimation temps route"/>
    </sheetNames>
    <sheetDataSet>
      <sheetData sheetId="0">
        <row r="3">
          <cell r="D3">
            <v>75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8">
          <cell r="C8">
            <v>2.3360586321844296E-3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2EFBF-0C0B-4104-B322-927393726063}">
  <dimension ref="B1:G50"/>
  <sheetViews>
    <sheetView showGridLines="0" tabSelected="1" zoomScale="85" zoomScaleNormal="85" workbookViewId="0">
      <selection activeCell="G14" sqref="G14"/>
    </sheetView>
  </sheetViews>
  <sheetFormatPr baseColWidth="10" defaultRowHeight="13" x14ac:dyDescent="0.3"/>
  <cols>
    <col min="1" max="1" width="3.09765625" customWidth="1"/>
    <col min="2" max="4" width="28" style="3" customWidth="1"/>
    <col min="5" max="5" width="9.59765625" style="3" customWidth="1"/>
    <col min="6" max="7" width="24.69921875" style="3" customWidth="1"/>
  </cols>
  <sheetData>
    <row r="1" spans="2:7" ht="13.5" thickBot="1" x14ac:dyDescent="0.35">
      <c r="F1" s="1" t="s">
        <v>1</v>
      </c>
      <c r="G1" s="2"/>
    </row>
    <row r="2" spans="2:7" x14ac:dyDescent="0.3">
      <c r="B2" s="37" t="s">
        <v>63</v>
      </c>
      <c r="C2" s="38"/>
      <c r="D2" s="39"/>
    </row>
    <row r="3" spans="2:7" x14ac:dyDescent="0.3">
      <c r="B3" s="40"/>
      <c r="C3" s="41"/>
      <c r="D3" s="42"/>
      <c r="F3" s="4" t="s">
        <v>62</v>
      </c>
      <c r="G3" s="35"/>
    </row>
    <row r="4" spans="2:7" ht="13.5" thickBot="1" x14ac:dyDescent="0.35">
      <c r="B4" s="43"/>
      <c r="C4" s="44"/>
      <c r="D4" s="45"/>
      <c r="F4" s="4" t="s">
        <v>5</v>
      </c>
      <c r="G4" s="8" t="str">
        <f>IFERROR($C$9*($G$3/$C$8)^1.06,"")</f>
        <v/>
      </c>
    </row>
    <row r="5" spans="2:7" x14ac:dyDescent="0.3">
      <c r="F5" s="4" t="s">
        <v>9</v>
      </c>
      <c r="G5" s="10" t="str">
        <f>IFERROR($G$4/$G$3,"")</f>
        <v/>
      </c>
    </row>
    <row r="6" spans="2:7" x14ac:dyDescent="0.3">
      <c r="B6" s="1" t="s">
        <v>0</v>
      </c>
      <c r="C6" s="2"/>
      <c r="D6" s="2"/>
    </row>
    <row r="7" spans="2:7" x14ac:dyDescent="0.3">
      <c r="F7" s="1" t="s">
        <v>13</v>
      </c>
      <c r="G7" s="2"/>
    </row>
    <row r="8" spans="2:7" x14ac:dyDescent="0.3">
      <c r="B8" s="4" t="s">
        <v>61</v>
      </c>
      <c r="C8" s="33"/>
    </row>
    <row r="9" spans="2:7" x14ac:dyDescent="0.3">
      <c r="B9" s="4" t="s">
        <v>60</v>
      </c>
      <c r="C9" s="34"/>
      <c r="F9" s="4" t="s">
        <v>15</v>
      </c>
      <c r="G9" s="36"/>
    </row>
    <row r="10" spans="2:7" x14ac:dyDescent="0.3">
      <c r="B10" s="4" t="s">
        <v>8</v>
      </c>
      <c r="C10" s="10" t="str">
        <f>IFERROR($C$9/$C$8,"")</f>
        <v/>
      </c>
      <c r="F10" s="4" t="s">
        <v>17</v>
      </c>
      <c r="G10" s="36"/>
    </row>
    <row r="12" spans="2:7" x14ac:dyDescent="0.3">
      <c r="B12" s="9" t="s">
        <v>3</v>
      </c>
      <c r="C12" s="9" t="s">
        <v>5</v>
      </c>
      <c r="D12" s="9" t="s">
        <v>9</v>
      </c>
      <c r="F12" s="6" t="s">
        <v>27</v>
      </c>
      <c r="G12" s="7"/>
    </row>
    <row r="13" spans="2:7" x14ac:dyDescent="0.3">
      <c r="B13" s="12">
        <v>5</v>
      </c>
      <c r="C13" s="8" t="str">
        <f>IFERROR($C$9*($B13/$C$8)^1.06,"")</f>
        <v/>
      </c>
      <c r="D13" s="10" t="str">
        <f>IFERROR($C13/$B13,"")</f>
        <v/>
      </c>
      <c r="F13" s="18" t="s">
        <v>30</v>
      </c>
      <c r="G13" s="36"/>
    </row>
    <row r="14" spans="2:7" x14ac:dyDescent="0.3">
      <c r="B14" s="12">
        <v>10</v>
      </c>
      <c r="C14" s="8" t="str">
        <f t="shared" ref="C14:C17" si="0">IFERROR($C$9*($B14/$C$8)^1.06,"")</f>
        <v/>
      </c>
      <c r="D14" s="10" t="str">
        <f t="shared" ref="D14:D17" si="1">IFERROR($C14/$B14,"")</f>
        <v/>
      </c>
      <c r="F14" s="18" t="s">
        <v>33</v>
      </c>
      <c r="G14" s="36"/>
    </row>
    <row r="15" spans="2:7" x14ac:dyDescent="0.3">
      <c r="B15" s="5">
        <v>21.1</v>
      </c>
      <c r="C15" s="8" t="str">
        <f t="shared" si="0"/>
        <v/>
      </c>
      <c r="D15" s="10" t="str">
        <f t="shared" si="1"/>
        <v/>
      </c>
      <c r="F15" s="18" t="s">
        <v>36</v>
      </c>
      <c r="G15" s="36"/>
    </row>
    <row r="16" spans="2:7" x14ac:dyDescent="0.3">
      <c r="B16" s="5">
        <v>42.2</v>
      </c>
      <c r="C16" s="8" t="str">
        <f t="shared" si="0"/>
        <v/>
      </c>
      <c r="D16" s="10" t="str">
        <f t="shared" si="1"/>
        <v/>
      </c>
      <c r="F16" s="22" t="s">
        <v>37</v>
      </c>
      <c r="G16" s="36"/>
    </row>
    <row r="17" spans="2:7" x14ac:dyDescent="0.3">
      <c r="B17" s="12">
        <v>100</v>
      </c>
      <c r="C17" s="8" t="str">
        <f t="shared" si="0"/>
        <v/>
      </c>
      <c r="D17" s="10" t="str">
        <f t="shared" si="1"/>
        <v/>
      </c>
    </row>
    <row r="18" spans="2:7" x14ac:dyDescent="0.3">
      <c r="F18" s="4" t="s">
        <v>21</v>
      </c>
      <c r="G18" s="14">
        <f>ROUND($G$10/4,0)</f>
        <v>0</v>
      </c>
    </row>
    <row r="19" spans="2:7" x14ac:dyDescent="0.3">
      <c r="F19" s="4" t="s">
        <v>23</v>
      </c>
      <c r="G19" s="14">
        <f>$G$18*(3.5)</f>
        <v>0</v>
      </c>
    </row>
    <row r="46" spans="5:5" x14ac:dyDescent="0.3">
      <c r="E46" s="29"/>
    </row>
    <row r="47" spans="5:5" x14ac:dyDescent="0.3">
      <c r="E47" s="29"/>
    </row>
    <row r="48" spans="5:5" x14ac:dyDescent="0.3">
      <c r="E48" s="29"/>
    </row>
    <row r="49" spans="5:5" x14ac:dyDescent="0.3">
      <c r="E49" s="29"/>
    </row>
    <row r="50" spans="5:5" x14ac:dyDescent="0.3">
      <c r="E50" s="29"/>
    </row>
  </sheetData>
  <sheetProtection algorithmName="SHA-512" hashValue="B9C82+Vl9sE6abN19rOFiUd0kNeSbw79iEKJAVUbfWXfFmDkSmXv3jr/prGdqp2ZB8Cv3gSMTx1KbzAadTvHXQ==" saltValue="9CHPTvX68zpT5No1QxtMzA==" spinCount="100000" sheet="1" objects="1" scenarios="1" formatCells="0"/>
  <mergeCells count="1">
    <mergeCell ref="B2:D4"/>
  </mergeCells>
  <dataValidations count="1">
    <dataValidation type="list" allowBlank="1" showInputMessage="1" showErrorMessage="1" sqref="G9" xr:uid="{FBA3A948-0228-4F8A-9200-756378258AB8}">
      <formula1>"Oui,Non"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CD465-320B-49BB-B304-196154249DE3}">
  <dimension ref="A1:L50"/>
  <sheetViews>
    <sheetView showGridLines="0" zoomScale="85" zoomScaleNormal="85" workbookViewId="0">
      <selection activeCell="C11" sqref="C11"/>
    </sheetView>
  </sheetViews>
  <sheetFormatPr baseColWidth="10" defaultRowHeight="13" x14ac:dyDescent="0.3"/>
  <cols>
    <col min="1" max="3" width="24.69921875" style="3" customWidth="1"/>
    <col min="4" max="4" width="13" style="3" customWidth="1"/>
    <col min="5" max="7" width="24.69921875" style="3" customWidth="1"/>
    <col min="8" max="8" width="13" style="3" customWidth="1"/>
    <col min="11" max="16384" width="11.19921875" style="3"/>
  </cols>
  <sheetData>
    <row r="1" spans="1:12" x14ac:dyDescent="0.3">
      <c r="A1" s="1" t="s">
        <v>25</v>
      </c>
      <c r="B1" s="2"/>
      <c r="C1" s="2"/>
      <c r="E1" s="1" t="s">
        <v>59</v>
      </c>
      <c r="F1" s="2"/>
      <c r="G1" s="2"/>
    </row>
    <row r="3" spans="1:12" x14ac:dyDescent="0.3">
      <c r="A3" s="4" t="s">
        <v>29</v>
      </c>
      <c r="B3" s="16">
        <f>SQRT('Entrées utilisateur'!$G$19)*'Entrées utilisateur'!$G$16</f>
        <v>0</v>
      </c>
      <c r="C3" s="17"/>
      <c r="E3" s="30" t="s">
        <v>55</v>
      </c>
      <c r="F3" s="31" t="str">
        <f>IFERROR('Entrées utilisateur'!$G$4*(1-$C$18),"")</f>
        <v/>
      </c>
    </row>
    <row r="4" spans="1:12" x14ac:dyDescent="0.3">
      <c r="A4" s="4" t="s">
        <v>32</v>
      </c>
      <c r="B4" s="14">
        <f>'Entrées utilisateur'!$G$13*Paramètres!$B$5+'Entrées utilisateur'!$G$14*Paramètres!$B$6+'Entrées utilisateur'!$G$15*Paramètres!$B$7</f>
        <v>0</v>
      </c>
      <c r="E4" s="30" t="s">
        <v>57</v>
      </c>
      <c r="F4" s="32" t="str">
        <f>IFERROR($F$3/'Entrées utilisateur'!$G$3,"")</f>
        <v/>
      </c>
    </row>
    <row r="5" spans="1:12" x14ac:dyDescent="0.3">
      <c r="A5" s="4" t="s">
        <v>35</v>
      </c>
      <c r="B5" s="19">
        <f>IFERROR($B$4/('Entrées utilisateur'!$G$16*1.2),0)</f>
        <v>0</v>
      </c>
      <c r="C5" s="20"/>
    </row>
    <row r="6" spans="1:12" x14ac:dyDescent="0.3">
      <c r="C6" s="21"/>
      <c r="E6" s="9" t="s">
        <v>3</v>
      </c>
      <c r="F6" s="9" t="s">
        <v>55</v>
      </c>
      <c r="G6" s="9" t="s">
        <v>12</v>
      </c>
    </row>
    <row r="7" spans="1:12" x14ac:dyDescent="0.3">
      <c r="A7" s="4" t="s">
        <v>39</v>
      </c>
      <c r="B7" s="19">
        <f>(1-EXP(-Paramètres!$B$11*$B$3))</f>
        <v>0</v>
      </c>
      <c r="C7" s="23"/>
      <c r="E7" s="12">
        <v>5</v>
      </c>
      <c r="F7" s="8" t="str">
        <f>IFERROR(VLOOKUP($E7,'Entrées utilisateur'!$B$12:$D$17,2,FALSE)*(1-VLOOKUP($E7,$A$17:$C$23,3,FALSE)),"")</f>
        <v/>
      </c>
      <c r="G7" s="10" t="str">
        <f>IFERROR($F7/$E7,"")</f>
        <v/>
      </c>
    </row>
    <row r="8" spans="1:12" x14ac:dyDescent="0.3">
      <c r="A8" s="4" t="s">
        <v>41</v>
      </c>
      <c r="B8" s="19">
        <f>IFERROR(SQRT('Entrées utilisateur'!$C$10/Paramètres!$B$25),0)</f>
        <v>0</v>
      </c>
      <c r="C8" s="20"/>
      <c r="E8" s="12">
        <v>10</v>
      </c>
      <c r="F8" s="8" t="str">
        <f>IFERROR(VLOOKUP($E8,'Entrées utilisateur'!$B$12:$D$17,2,FALSE)*(1-VLOOKUP($E8,$A$17:$C$23,3,FALSE)),"")</f>
        <v/>
      </c>
      <c r="G8" s="10" t="str">
        <f t="shared" ref="G8:G11" si="0">IFERROR($F8/$E8,"")</f>
        <v/>
      </c>
      <c r="H8" s="13">
        <f>IF('Entrées utilisateur'!G9="Oui",1,0)</f>
        <v>0</v>
      </c>
    </row>
    <row r="9" spans="1:12" x14ac:dyDescent="0.3">
      <c r="A9" s="4" t="s">
        <v>42</v>
      </c>
      <c r="B9" s="19">
        <f>MAX(Paramètres!$B$23,IF('Entrées utilisateur'!$G$16&lt;=Paramètres!$B$22,1,1-Paramètres!$B$15*('Entrées utilisateur'!$G$16-Paramètres!$B$22)*(1-Paramètres!$B$16*$H$8)))</f>
        <v>1</v>
      </c>
      <c r="C9" s="20"/>
      <c r="E9" s="5">
        <v>21.1</v>
      </c>
      <c r="F9" s="8" t="str">
        <f>IFERROR(VLOOKUP($E9,'Entrées utilisateur'!$B$12:$D$17,2,FALSE)*(1-VLOOKUP($E9,$A$17:$C$23,3,FALSE)),"")</f>
        <v/>
      </c>
      <c r="G9" s="10" t="str">
        <f t="shared" si="0"/>
        <v/>
      </c>
    </row>
    <row r="10" spans="1:12" x14ac:dyDescent="0.3">
      <c r="A10" s="4" t="s">
        <v>43</v>
      </c>
      <c r="B10" s="25">
        <f>PRODUCT($B$7:$B$8,B9)</f>
        <v>0</v>
      </c>
      <c r="C10" s="20"/>
      <c r="E10" s="5">
        <v>42.2</v>
      </c>
      <c r="F10" s="8" t="str">
        <f>IFERROR(VLOOKUP($E10,'Entrées utilisateur'!$B$12:$D$17,2,FALSE)*(1-VLOOKUP($E10,$A$17:$C$23,3,FALSE)),"")</f>
        <v/>
      </c>
      <c r="G10" s="10" t="str">
        <f t="shared" si="0"/>
        <v/>
      </c>
      <c r="L10" s="15"/>
    </row>
    <row r="11" spans="1:12" x14ac:dyDescent="0.3">
      <c r="C11" s="20"/>
      <c r="E11" s="12">
        <v>100</v>
      </c>
      <c r="F11" s="8" t="str">
        <f>IFERROR(VLOOKUP($E11,'Entrées utilisateur'!$B$12:$D$17,2,FALSE)*(1-VLOOKUP($E11,$A$17:$C$23,3,FALSE)),"")</f>
        <v/>
      </c>
      <c r="G11" s="10" t="str">
        <f t="shared" si="0"/>
        <v/>
      </c>
    </row>
    <row r="12" spans="1:12" x14ac:dyDescent="0.3">
      <c r="A12" s="4" t="s">
        <v>44</v>
      </c>
      <c r="B12" s="19">
        <f>(1-EXP(-Paramètres!$B$12*$B$3))</f>
        <v>0</v>
      </c>
    </row>
    <row r="13" spans="1:12" x14ac:dyDescent="0.3">
      <c r="A13" s="4" t="s">
        <v>45</v>
      </c>
      <c r="B13" s="19">
        <f>MIN(Paramètres!$B$21,MAX(Paramètres!$B$20,1+Paramètres!$B$13*($B$5-1)+Paramètres!$B$14*$H$8))</f>
        <v>0.9</v>
      </c>
    </row>
    <row r="14" spans="1:12" ht="13" customHeight="1" x14ac:dyDescent="0.3">
      <c r="A14" s="4" t="s">
        <v>46</v>
      </c>
      <c r="B14" s="26">
        <f>IFERROR(VLOOKUP('Entrées utilisateur'!$G$3,Paramètres!$D$13:$E$17,2,TRUE)*$B$12*$B$13*$H$8,0)</f>
        <v>0</v>
      </c>
    </row>
    <row r="16" spans="1:12" x14ac:dyDescent="0.3">
      <c r="A16" s="27" t="s">
        <v>47</v>
      </c>
      <c r="B16" s="27"/>
      <c r="C16" s="27"/>
    </row>
    <row r="17" spans="1:3" x14ac:dyDescent="0.3">
      <c r="A17" s="9" t="s">
        <v>3</v>
      </c>
      <c r="B17" s="9" t="s">
        <v>48</v>
      </c>
      <c r="C17" s="9" t="s">
        <v>49</v>
      </c>
    </row>
    <row r="18" spans="1:3" x14ac:dyDescent="0.3">
      <c r="A18" s="12">
        <f>'Entrées utilisateur'!$G$3</f>
        <v>0</v>
      </c>
      <c r="B18" s="19" t="str">
        <f>IFERROR(EXP(-Paramètres!$B$17*ABS(LN($A18/'Entrées utilisateur'!$G$3))),"")</f>
        <v/>
      </c>
      <c r="C18" s="26" t="str">
        <f>IFERROR(VLOOKUP($A18,Paramètres!$D$5:$E$9,2,TRUE)*$B$10+$B$14*$B18,"")</f>
        <v/>
      </c>
    </row>
    <row r="19" spans="1:3" x14ac:dyDescent="0.3">
      <c r="A19" s="12">
        <v>5</v>
      </c>
      <c r="B19" s="19" t="str">
        <f>IFERROR(EXP(-Paramètres!$B$17*ABS(LN($A19/'Entrées utilisateur'!$G$3))),"")</f>
        <v/>
      </c>
      <c r="C19" s="26" t="str">
        <f>IFERROR(VLOOKUP($A19,Paramètres!$D$5:$E$9,2,TRUE)*$B$10+$B$14*$B19,"")</f>
        <v/>
      </c>
    </row>
    <row r="20" spans="1:3" x14ac:dyDescent="0.3">
      <c r="A20" s="12">
        <v>10</v>
      </c>
      <c r="B20" s="19" t="str">
        <f>IFERROR(EXP(-Paramètres!$B$17*ABS(LN($A20/'Entrées utilisateur'!$G$3))),"")</f>
        <v/>
      </c>
      <c r="C20" s="26" t="str">
        <f>IFERROR(VLOOKUP($A20,Paramètres!$D$5:$E$9,2,TRUE)*$B$10+$B$14*$B20,"")</f>
        <v/>
      </c>
    </row>
    <row r="21" spans="1:3" x14ac:dyDescent="0.3">
      <c r="A21" s="5">
        <v>21.1</v>
      </c>
      <c r="B21" s="19" t="str">
        <f>IFERROR(EXP(-Paramètres!$B$17*ABS(LN($A21/'Entrées utilisateur'!$G$3))),"")</f>
        <v/>
      </c>
      <c r="C21" s="26" t="str">
        <f>IFERROR(VLOOKUP($A21,Paramètres!$D$5:$E$9,2,TRUE)*$B$10+$B$14*$B21,"")</f>
        <v/>
      </c>
    </row>
    <row r="22" spans="1:3" x14ac:dyDescent="0.3">
      <c r="A22" s="5">
        <v>42.2</v>
      </c>
      <c r="B22" s="19" t="str">
        <f>IFERROR(EXP(-Paramètres!$B$17*ABS(LN($A22/'Entrées utilisateur'!$G$3))),"")</f>
        <v/>
      </c>
      <c r="C22" s="26" t="str">
        <f>IFERROR(VLOOKUP($A22,Paramètres!$D$5:$E$9,2,TRUE)*$B$10+$B$14*$B22,"")</f>
        <v/>
      </c>
    </row>
    <row r="23" spans="1:3" x14ac:dyDescent="0.3">
      <c r="A23" s="12">
        <v>100</v>
      </c>
      <c r="B23" s="19" t="str">
        <f>IFERROR(EXP(-Paramètres!$B$17*ABS(LN($A23/'Entrées utilisateur'!$G$3))),"")</f>
        <v/>
      </c>
      <c r="C23" s="26" t="str">
        <f>IFERROR(VLOOKUP($A23,Paramètres!$D$5:$E$9,2,TRUE)*$B$10+$B$14*$B23,"")</f>
        <v/>
      </c>
    </row>
    <row r="46" spans="4:4" x14ac:dyDescent="0.3">
      <c r="D46" s="29"/>
    </row>
    <row r="47" spans="4:4" x14ac:dyDescent="0.3">
      <c r="D47" s="29"/>
    </row>
    <row r="48" spans="4:4" x14ac:dyDescent="0.3">
      <c r="D48" s="29"/>
    </row>
    <row r="49" spans="4:4" x14ac:dyDescent="0.3">
      <c r="D49" s="29"/>
    </row>
    <row r="50" spans="4:4" x14ac:dyDescent="0.3">
      <c r="D50" s="29"/>
    </row>
  </sheetData>
  <sheetProtection algorithmName="SHA-512" hashValue="2xG046Muy8S9i0gQn8NkjWuLoKGCshzp69EiV9SbmNn67ePHlv6q8qhA+GbUYh1OsdEiwCXLO4uxK09QyroYrA==" saltValue="6JWaM14qzVrqJZvVlgG8RQ==" spinCount="100000" sheet="1" objects="1" scenarios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CD4E8-2E54-490B-B1EB-A70E50960352}">
  <dimension ref="A1:E42"/>
  <sheetViews>
    <sheetView showGridLines="0" topLeftCell="A7" workbookViewId="0">
      <selection activeCell="E22" sqref="E22"/>
    </sheetView>
  </sheetViews>
  <sheetFormatPr baseColWidth="10" defaultRowHeight="13" x14ac:dyDescent="0.3"/>
  <cols>
    <col min="1" max="2" width="20.19921875" style="3" customWidth="1"/>
    <col min="3" max="3" width="5.8984375" customWidth="1"/>
    <col min="4" max="5" width="20.19921875" style="3" customWidth="1"/>
  </cols>
  <sheetData>
    <row r="1" spans="1:5" x14ac:dyDescent="0.3">
      <c r="A1" s="1" t="s">
        <v>2</v>
      </c>
      <c r="B1" s="2"/>
      <c r="D1"/>
      <c r="E1"/>
    </row>
    <row r="3" spans="1:5" x14ac:dyDescent="0.3">
      <c r="A3" s="6" t="s">
        <v>4</v>
      </c>
      <c r="B3" s="7"/>
      <c r="D3" s="6" t="s">
        <v>38</v>
      </c>
      <c r="E3" s="7"/>
    </row>
    <row r="4" spans="1:5" x14ac:dyDescent="0.3">
      <c r="A4" s="9" t="s">
        <v>6</v>
      </c>
      <c r="B4" s="9" t="s">
        <v>7</v>
      </c>
      <c r="D4" s="9" t="s">
        <v>3</v>
      </c>
      <c r="E4" s="9" t="s">
        <v>40</v>
      </c>
    </row>
    <row r="5" spans="1:5" x14ac:dyDescent="0.3">
      <c r="A5" s="11" t="s">
        <v>10</v>
      </c>
      <c r="B5" s="11">
        <v>1</v>
      </c>
      <c r="D5" s="12">
        <v>5</v>
      </c>
      <c r="E5" s="24">
        <v>1.0999999999999999E-2</v>
      </c>
    </row>
    <row r="6" spans="1:5" x14ac:dyDescent="0.3">
      <c r="A6" s="11" t="s">
        <v>11</v>
      </c>
      <c r="B6" s="11">
        <v>1.6</v>
      </c>
      <c r="D6" s="12">
        <v>10</v>
      </c>
      <c r="E6" s="24">
        <v>1.2E-2</v>
      </c>
    </row>
    <row r="7" spans="1:5" x14ac:dyDescent="0.3">
      <c r="A7" s="11" t="s">
        <v>14</v>
      </c>
      <c r="B7" s="11">
        <v>1.2</v>
      </c>
      <c r="D7" s="5">
        <v>21.1</v>
      </c>
      <c r="E7" s="24">
        <v>1.0999999999999999E-2</v>
      </c>
    </row>
    <row r="8" spans="1:5" x14ac:dyDescent="0.3">
      <c r="D8" s="5">
        <v>42.2</v>
      </c>
      <c r="E8" s="24">
        <v>6.0000000000000001E-3</v>
      </c>
    </row>
    <row r="9" spans="1:5" x14ac:dyDescent="0.3">
      <c r="A9" s="6" t="s">
        <v>16</v>
      </c>
      <c r="B9" s="7"/>
      <c r="D9" s="12">
        <v>100</v>
      </c>
      <c r="E9" s="24">
        <v>2E-3</v>
      </c>
    </row>
    <row r="10" spans="1:5" x14ac:dyDescent="0.3">
      <c r="A10" s="9" t="s">
        <v>18</v>
      </c>
      <c r="B10" s="9" t="s">
        <v>19</v>
      </c>
    </row>
    <row r="11" spans="1:5" x14ac:dyDescent="0.3">
      <c r="A11" s="14" t="s">
        <v>20</v>
      </c>
      <c r="B11" s="14">
        <v>0.08</v>
      </c>
      <c r="D11" s="6" t="s">
        <v>46</v>
      </c>
      <c r="E11" s="7"/>
    </row>
    <row r="12" spans="1:5" x14ac:dyDescent="0.3">
      <c r="A12" s="14" t="s">
        <v>22</v>
      </c>
      <c r="B12" s="14">
        <v>0.12</v>
      </c>
      <c r="D12" s="9" t="s">
        <v>3</v>
      </c>
      <c r="E12" s="9" t="s">
        <v>40</v>
      </c>
    </row>
    <row r="13" spans="1:5" x14ac:dyDescent="0.3">
      <c r="A13" s="11" t="s">
        <v>24</v>
      </c>
      <c r="B13" s="11">
        <v>0.4</v>
      </c>
      <c r="D13" s="12">
        <v>5</v>
      </c>
      <c r="E13" s="24">
        <v>1.2E-2</v>
      </c>
    </row>
    <row r="14" spans="1:5" x14ac:dyDescent="0.3">
      <c r="A14" s="11" t="s">
        <v>26</v>
      </c>
      <c r="B14" s="11">
        <v>0.04</v>
      </c>
      <c r="D14" s="12">
        <v>10</v>
      </c>
      <c r="E14" s="24">
        <v>1.2E-2</v>
      </c>
    </row>
    <row r="15" spans="1:5" x14ac:dyDescent="0.3">
      <c r="A15" s="11" t="s">
        <v>28</v>
      </c>
      <c r="B15" s="11">
        <v>1.4999999999999999E-2</v>
      </c>
      <c r="D15" s="5">
        <v>21.1</v>
      </c>
      <c r="E15" s="24">
        <v>1.4999999999999999E-2</v>
      </c>
    </row>
    <row r="16" spans="1:5" x14ac:dyDescent="0.3">
      <c r="A16" s="11" t="s">
        <v>31</v>
      </c>
      <c r="B16" s="11">
        <v>0.5</v>
      </c>
      <c r="D16" s="5">
        <v>42.2</v>
      </c>
      <c r="E16" s="24">
        <v>0.02</v>
      </c>
    </row>
    <row r="17" spans="1:5" x14ac:dyDescent="0.3">
      <c r="A17" s="11" t="s">
        <v>34</v>
      </c>
      <c r="B17" s="11">
        <v>0.8</v>
      </c>
      <c r="D17" s="12">
        <v>100</v>
      </c>
      <c r="E17" s="24">
        <v>0.02</v>
      </c>
    </row>
    <row r="19" spans="1:5" x14ac:dyDescent="0.3">
      <c r="A19" s="6" t="s">
        <v>50</v>
      </c>
      <c r="B19" s="7"/>
      <c r="D19"/>
      <c r="E19"/>
    </row>
    <row r="20" spans="1:5" x14ac:dyDescent="0.3">
      <c r="A20" s="11" t="s">
        <v>51</v>
      </c>
      <c r="B20" s="11">
        <v>0.9</v>
      </c>
      <c r="D20"/>
      <c r="E20"/>
    </row>
    <row r="21" spans="1:5" x14ac:dyDescent="0.3">
      <c r="A21" s="11" t="s">
        <v>52</v>
      </c>
      <c r="B21" s="11">
        <v>1.1000000000000001</v>
      </c>
      <c r="D21"/>
      <c r="E21"/>
    </row>
    <row r="22" spans="1:5" x14ac:dyDescent="0.3">
      <c r="A22" s="11" t="s">
        <v>53</v>
      </c>
      <c r="B22" s="28">
        <v>3</v>
      </c>
      <c r="D22"/>
      <c r="E22"/>
    </row>
    <row r="23" spans="1:5" x14ac:dyDescent="0.3">
      <c r="A23" s="14" t="s">
        <v>54</v>
      </c>
      <c r="B23" s="14">
        <v>0.8</v>
      </c>
      <c r="D23"/>
      <c r="E23"/>
    </row>
    <row r="24" spans="1:5" x14ac:dyDescent="0.3">
      <c r="A24" s="14" t="s">
        <v>56</v>
      </c>
      <c r="B24" s="14">
        <v>1.4999999999999999E-2</v>
      </c>
      <c r="D24"/>
      <c r="E24"/>
    </row>
    <row r="25" spans="1:5" x14ac:dyDescent="0.3">
      <c r="A25" s="11" t="s">
        <v>58</v>
      </c>
      <c r="B25" s="10">
        <v>3.8194444444444443E-3</v>
      </c>
      <c r="D25"/>
      <c r="E25"/>
    </row>
    <row r="26" spans="1:5" x14ac:dyDescent="0.3">
      <c r="D26"/>
      <c r="E26"/>
    </row>
    <row r="27" spans="1:5" x14ac:dyDescent="0.3">
      <c r="D27"/>
      <c r="E27"/>
    </row>
    <row r="28" spans="1:5" x14ac:dyDescent="0.3">
      <c r="D28"/>
      <c r="E28"/>
    </row>
    <row r="29" spans="1:5" x14ac:dyDescent="0.3">
      <c r="D29"/>
      <c r="E29"/>
    </row>
    <row r="30" spans="1:5" x14ac:dyDescent="0.3">
      <c r="D30"/>
      <c r="E30"/>
    </row>
    <row r="31" spans="1:5" x14ac:dyDescent="0.3">
      <c r="D31"/>
      <c r="E31"/>
    </row>
    <row r="32" spans="1:5" x14ac:dyDescent="0.3">
      <c r="D32"/>
      <c r="E32"/>
    </row>
    <row r="33" spans="4:5" x14ac:dyDescent="0.3">
      <c r="D33"/>
      <c r="E33"/>
    </row>
    <row r="34" spans="4:5" x14ac:dyDescent="0.3">
      <c r="D34"/>
      <c r="E34"/>
    </row>
    <row r="35" spans="4:5" x14ac:dyDescent="0.3">
      <c r="D35"/>
      <c r="E35"/>
    </row>
    <row r="36" spans="4:5" x14ac:dyDescent="0.3">
      <c r="D36"/>
      <c r="E36"/>
    </row>
    <row r="37" spans="4:5" x14ac:dyDescent="0.3">
      <c r="D37"/>
      <c r="E37"/>
    </row>
    <row r="38" spans="4:5" x14ac:dyDescent="0.3">
      <c r="D38"/>
      <c r="E38"/>
    </row>
    <row r="39" spans="4:5" x14ac:dyDescent="0.3">
      <c r="D39"/>
      <c r="E39"/>
    </row>
    <row r="40" spans="4:5" x14ac:dyDescent="0.3">
      <c r="D40"/>
      <c r="E40"/>
    </row>
    <row r="41" spans="4:5" x14ac:dyDescent="0.3">
      <c r="D41"/>
      <c r="E41"/>
    </row>
    <row r="42" spans="4:5" x14ac:dyDescent="0.3">
      <c r="D42"/>
      <c r="E42"/>
    </row>
  </sheetData>
  <sheetProtection algorithmName="SHA-512" hashValue="x1selemYKQ8bD3TCxGjSry9/DVisH+KRoeLCQ5ERGTI55OaInUF1aptR9X66n3M5X/obfXD1V0o5iZ9+kK4fYQ==" saltValue="0ZSjVU7f65kAJHNdNvmIhg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Entrées utilisateur</vt:lpstr>
      <vt:lpstr>Estimation des temps</vt:lpstr>
      <vt:lpstr>Paramètres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Thébault</dc:creator>
  <cp:lastModifiedBy>Louis Thébault</cp:lastModifiedBy>
  <dcterms:created xsi:type="dcterms:W3CDTF">2026-01-14T16:01:50Z</dcterms:created>
  <dcterms:modified xsi:type="dcterms:W3CDTF">2026-01-14T16:51:29Z</dcterms:modified>
</cp:coreProperties>
</file>